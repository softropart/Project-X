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3.xml" ContentType="application/vnd.ms-excel.person+xml"/>
  <Override PartName="/xl/persons/person2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vya\OneDrive\Desktop\Raptee\Supply chain Documents\DISPLAY DRIVER\V3.0\"/>
    </mc:Choice>
  </mc:AlternateContent>
  <xr:revisionPtr revIDLastSave="0" documentId="13_ncr:1_{04916B77-0EB5-4A81-AE64-38C453C929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39" i="1" l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<sst xmlns="http://schemas.openxmlformats.org/spreadsheetml/2006/main" count="181" uniqueCount="138">
  <si>
    <t>Approved:</t>
  </si>
  <si>
    <t>Notes:</t>
  </si>
  <si>
    <t>2/850, Mugalivakkam Main Road, Manapakkam,Chennai, Tamilnadu 600125</t>
  </si>
  <si>
    <t>TITLE:</t>
  </si>
  <si>
    <t>SOURCE FILE NAME:</t>
  </si>
  <si>
    <t>PROJECT FILE NAME:</t>
  </si>
  <si>
    <t>VARIANT:</t>
  </si>
  <si>
    <t>REPORT DATE:</t>
  </si>
  <si>
    <t>S.NO</t>
  </si>
  <si>
    <t>Bill of Materials for Variant [Variant of OLDI_DD_V3.0] of BOM Document [OLDI_Display_Adaptor_V3.0.BomDoc]</t>
  </si>
  <si>
    <t>OLDI_Display_Adaptor_V3.0.BomDoc</t>
  </si>
  <si>
    <t>OLDI_Display_Adaptor_V3.0.PrjPcb</t>
  </si>
  <si>
    <t>Variant of OLDI_DD_V3.0</t>
  </si>
  <si>
    <t>02-02-2026</t>
  </si>
  <si>
    <t>74</t>
  </si>
  <si>
    <t>Manufacturer Part Number 1</t>
  </si>
  <si>
    <t>C0603C104K5RACAUTO</t>
  </si>
  <si>
    <t>GRT188R61E106ME13D</t>
  </si>
  <si>
    <t>C3216X5R1E476M160AC</t>
  </si>
  <si>
    <t>GRT188R6YA475KE13D</t>
  </si>
  <si>
    <t>CGA3E3X5R1H105K080AB</t>
  </si>
  <si>
    <t>CGA3E2C0G2A222J080AA</t>
  </si>
  <si>
    <t>AC0603KRX7R9BB223</t>
  </si>
  <si>
    <t>LTST-C191TBKT</t>
  </si>
  <si>
    <t>PDS760-13</t>
  </si>
  <si>
    <t>0441002.WR</t>
  </si>
  <si>
    <t>FH12-6S-1SH</t>
  </si>
  <si>
    <t>FH28K-40S-0.5SH</t>
  </si>
  <si>
    <t>505568-0331</t>
  </si>
  <si>
    <t>FH28K-20S-0.5SH</t>
  </si>
  <si>
    <t>IHLE4040DDEW3R3M5A</t>
  </si>
  <si>
    <t>SPM4030T-3R3M-HZ</t>
  </si>
  <si>
    <t>ACM55V-701-2PL-TL00</t>
  </si>
  <si>
    <t>ERJ-2GE0R00X</t>
  </si>
  <si>
    <t>CRCW06031K47FKEA</t>
  </si>
  <si>
    <t>RCS06030000Z0EC</t>
  </si>
  <si>
    <t>ERJ-3EKF2002V</t>
  </si>
  <si>
    <t>CRCW060310K0FKEAHP</t>
  </si>
  <si>
    <t>AC0603FR-0715KL</t>
  </si>
  <si>
    <t>AC0402FR-07100KL</t>
  </si>
  <si>
    <t>CRCW0603169KFKEA</t>
  </si>
  <si>
    <t>AC0603FR-0732K4L</t>
  </si>
  <si>
    <t>ERJ-3EKF1603V</t>
  </si>
  <si>
    <t>AC0603FR-7W1KL</t>
  </si>
  <si>
    <t>CRCW060333K2FKTA</t>
  </si>
  <si>
    <t>MPQ3323BGRE-AEC1-Z</t>
  </si>
  <si>
    <t>TPS55340QRTERQ1</t>
  </si>
  <si>
    <t>TPS561201DDCR</t>
  </si>
  <si>
    <t>Description</t>
  </si>
  <si>
    <t>Multilayer Ceramic Capacitors Mlcc - Smd/Smt 50V 0.1Uf X7R 0603 10% Aec-Q200</t>
  </si>
  <si>
    <t>Multilayer Ceramic Capacitors MLCC - SMD/SMT 10 uF 25 VDC 20% 0603 X5R AEC-Q200</t>
  </si>
  <si>
    <t>Ceramic Capacitor, Multilayer, Ceramic, 25V, 20% +Tol, 20% -Tol, X5R, 15% TC, 47uF, Surface Mount, 1206</t>
  </si>
  <si>
    <t>Cap, Aec-Q200, 4.7Uf, 35V, Mlcc, 0603 Rohs Compliant: Yes |Murata GRT188R6YA475KE13D</t>
  </si>
  <si>
    <t>Multilayer Ceramic Capacitors MLCC – SMD/SMT; TDK; CGA3E3X5R1H105K080AB; 1 µF; 0603; 50 V; 50 V</t>
  </si>
  <si>
    <t>100V 2.2nF 卤5% 0603 Multilayer Ceramic Capacitors MLCC - SMD/SMT ROHS</t>
  </si>
  <si>
    <t>Ceramic Capacitor, Multilayer, Ceramic, 50V, 10% +Tol, 10% -Tol, X7R, 15% TC, 0.022uF, Surface Mount, 0603</t>
  </si>
  <si>
    <t>LED Uni-Color Blue 468nm 2-Pin Chip LED T/R / LED BLUE CLEAR 0603 SMD</t>
  </si>
  <si>
    <t>PDS760 Series 60 V 7 A Surface Mount Schottky Barrier Rectifier - PowerDI-5</t>
  </si>
  <si>
    <t>Fuse Chip 2A 32V SMD Solder Pad 0603 Ceramic T/R CSA/UL</t>
  </si>
  <si>
    <t>FFC/FPC Connector, 6 Contact(s), 1 Row(s), Female, Right Angle, 0.039 inch Pitch, Surface Mount Terminal, Eject Lever, Brown Insulator</t>
  </si>
  <si>
    <t>Conn FFC/FPC SKT 40 POS 0.5mm Solder RA SMD Emboss T/R</t>
  </si>
  <si>
    <t>Connector Wire to Board Micro-Lock Plug 3 Position 1.25mm Straight Surface Mount Black</t>
  </si>
  <si>
    <t>Conn FFC/FPC SKT 20 POS 0.5mm Solder RA SMD Emboss T/R</t>
  </si>
  <si>
    <t>General Purpose Inductor, 3.3uH, 20%, 1 Element, Powdered Iron-Core, SMD, 4343</t>
  </si>
  <si>
    <t>General Purpose Inductor, 3.3uH, 20%, 1 Element, Metal-Core, SMD, 1616</t>
  </si>
  <si>
    <t>Common Mode Chokes / Filters CMF for power,700ohm, -40-+125C</t>
  </si>
  <si>
    <t>Chip Resistor, 0 Ohm, 0.1 W, -55 to 155 degC, 0402 (1005 Metric)</t>
  </si>
  <si>
    <t>Res Thick Film 0603 1.47K Ohm 1% 0.1W(1/10W) ±100ppm/C Pad SMD T/R Automotive AEC-Q200</t>
  </si>
  <si>
    <t>Fixed Resistor, Metal Glaze/thick Film, 0.25W, 0ohm, Surface Mount, 0603</t>
  </si>
  <si>
    <t>20 kOhms ±1% 0.1W, 1/10W Chip Resistor 0603 (1608 Metric) Automotive AEC-Q200 Thick Film</t>
  </si>
  <si>
    <t>Fixed Resistor, Metal Glaze/thick Film, 0.33W, 10000ohm, 75V, 1% +/-Tol, 100ppm/Cel, Surface Mount, 0603</t>
  </si>
  <si>
    <t>Fixed Resistor, Metal Glaze/thick Film, 0.1W, 15000ohm, 75V, 1% +/-Tol, 100ppm/Cel, Surface Mount, 0603</t>
  </si>
  <si>
    <t>Fixed Resistor, Metal Glaze/thick Film, 0.0625W, 100000ohm, 50V, 1% +/-Tol, 100ppm/Cel, Surface Mount, 0402</t>
  </si>
  <si>
    <t>Res Thick Film 0603 169K Ohm 1% 0.1W(1/10W) ±100ppm/°C Pad SMD T/R Automotive AEC-Q200</t>
  </si>
  <si>
    <t>Res Thick Film 0603 32.4K Ohm 1% 0.1W(1/10W) ±100ppm/C Pad SMD T/R Automotive AEC-Q200</t>
  </si>
  <si>
    <t>RES SMD 160K OHM 1% 1/10W 0603,Chip Resistor</t>
  </si>
  <si>
    <t>Fixed Resistor, Metal Glaze/thick Film, 0.2W, 1000ohm, 75V, 1% +/-Tol, 100ppm/Cel, Surface Mount, 0603</t>
  </si>
  <si>
    <t>Fixed Resistor, Metal Glaze/thick Film, 0.1W, 33200ohm, 75V, 1% +/-Tol, 100ppm/Cel, Surface Mount, 0603</t>
  </si>
  <si>
    <t>4-CHANNEL, 320MA/CH, Led Driver With Separated Pwm/analog Dimming And I2C Interface, AEC-Q100 Qualified</t>
  </si>
  <si>
    <t>Switching Regulator, Current-mode, 7.75A, 2500kHz Switching Freq-Max, PQCC16</t>
  </si>
  <si>
    <t>Switching Regulator, 1A, 580kHz Switching Freq-Max, PDSO6</t>
  </si>
  <si>
    <t>Designator</t>
  </si>
  <si>
    <t>C1, C5, C7, C16, C52</t>
  </si>
  <si>
    <t>C4, C6, C9, C10, C15, C25, C26, C30, C53</t>
  </si>
  <si>
    <t>C8</t>
  </si>
  <si>
    <t>C11, C12, C13</t>
  </si>
  <si>
    <t>C14</t>
  </si>
  <si>
    <t>C17</t>
  </si>
  <si>
    <t>C18, C19</t>
  </si>
  <si>
    <t>D1</t>
  </si>
  <si>
    <t>D2</t>
  </si>
  <si>
    <t>F1</t>
  </si>
  <si>
    <t>J1, J9</t>
  </si>
  <si>
    <t>J3</t>
  </si>
  <si>
    <t>J4</t>
  </si>
  <si>
    <t>J6, J11</t>
  </si>
  <si>
    <t>L1</t>
  </si>
  <si>
    <t>L2</t>
  </si>
  <si>
    <t>L8</t>
  </si>
  <si>
    <t>R1, R4, R11, R13, R31, R33, R35</t>
  </si>
  <si>
    <t>R2, R25</t>
  </si>
  <si>
    <t>R3, R6, R9, R12, R15, R16, R18, R21, R22, R49</t>
  </si>
  <si>
    <t>R5</t>
  </si>
  <si>
    <t>R8, R20, R26, R29, R30, R38, R42, R44, R46, R68</t>
  </si>
  <si>
    <t>R17</t>
  </si>
  <si>
    <t>R19</t>
  </si>
  <si>
    <t>R23</t>
  </si>
  <si>
    <t>R24</t>
  </si>
  <si>
    <t>R34</t>
  </si>
  <si>
    <t>R39</t>
  </si>
  <si>
    <t>R45</t>
  </si>
  <si>
    <t>U1</t>
  </si>
  <si>
    <t>U2</t>
  </si>
  <si>
    <t>U3</t>
  </si>
  <si>
    <t>ComponentType</t>
  </si>
  <si>
    <t>Capacitors</t>
  </si>
  <si>
    <t>LED</t>
  </si>
  <si>
    <t>Diodes</t>
  </si>
  <si>
    <t>Fuses</t>
  </si>
  <si>
    <t>Connectors</t>
  </si>
  <si>
    <t>Inductors</t>
  </si>
  <si>
    <t>Resistors</t>
  </si>
  <si>
    <t>Integrated Circuits</t>
  </si>
  <si>
    <t>Quantity</t>
  </si>
  <si>
    <t>Manufacturer 1</t>
  </si>
  <si>
    <t>KEMET</t>
  </si>
  <si>
    <t>Murata</t>
  </si>
  <si>
    <t>TDK</t>
  </si>
  <si>
    <t>Yageo Group</t>
  </si>
  <si>
    <t>Lite-On</t>
  </si>
  <si>
    <t>Diodes Inc.</t>
  </si>
  <si>
    <t>Littelfuse</t>
  </si>
  <si>
    <t>HIROSE ELECTRIC</t>
  </si>
  <si>
    <t>Molex</t>
  </si>
  <si>
    <t>Vishay</t>
  </si>
  <si>
    <t>Panasonic</t>
  </si>
  <si>
    <t>Monolithic Power Systems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</si>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</sst>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4" x14ac:knownFonts="1">
    <font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  <charset val="204"/>
    </font>
    <font>
      <sz val="14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3" fillId="2" borderId="0" xfId="0" applyFont="1" applyFill="1"/>
    <xf numFmtId="0" fontId="2" fillId="2" borderId="3" xfId="0" applyFont="1" applyFill="1" applyBorder="1"/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5" fillId="0" borderId="8" xfId="0" applyFont="1" applyBorder="1" applyAlignment="1" applyProtection="1">
      <alignment vertical="top"/>
      <protection locked="0"/>
    </xf>
    <xf numFmtId="0" fontId="5" fillId="0" borderId="2" xfId="0" applyFont="1" applyBorder="1" applyAlignment="1" applyProtection="1">
      <alignment vertical="top"/>
      <protection locked="0"/>
    </xf>
    <xf numFmtId="0" fontId="5" fillId="0" borderId="3" xfId="0" applyFont="1" applyBorder="1" applyAlignment="1" applyProtection="1">
      <alignment vertical="top"/>
      <protection locked="0"/>
    </xf>
    <xf numFmtId="0" fontId="5" fillId="0" borderId="3" xfId="0" applyFont="1" applyBorder="1" applyAlignment="1" applyProtection="1">
      <alignment horizontal="left" vertical="top"/>
      <protection locked="0"/>
    </xf>
    <xf numFmtId="0" fontId="10" fillId="2" borderId="7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/>
    </xf>
    <xf numFmtId="0" fontId="6" fillId="3" borderId="9" xfId="0" applyFont="1" applyFill="1" applyBorder="1"/>
    <xf numFmtId="164" fontId="7" fillId="3" borderId="11" xfId="0" applyNumberFormat="1" applyFont="1" applyFill="1" applyBorder="1" applyAlignment="1">
      <alignment horizontal="left"/>
    </xf>
    <xf numFmtId="0" fontId="3" fillId="3" borderId="13" xfId="0" applyFont="1" applyFill="1" applyBorder="1"/>
    <xf numFmtId="0" fontId="6" fillId="3" borderId="13" xfId="0" applyFont="1" applyFill="1" applyBorder="1"/>
    <xf numFmtId="0" fontId="7" fillId="3" borderId="4" xfId="0" applyFont="1" applyFill="1" applyBorder="1"/>
    <xf numFmtId="0" fontId="7" fillId="3" borderId="12" xfId="0" applyFont="1" applyFill="1" applyBorder="1"/>
    <xf numFmtId="0" fontId="3" fillId="3" borderId="12" xfId="0" applyFont="1" applyFill="1" applyBorder="1"/>
    <xf numFmtId="0" fontId="5" fillId="0" borderId="13" xfId="0" applyFont="1" applyBorder="1" applyAlignment="1" applyProtection="1">
      <alignment horizontal="left" vertical="top"/>
      <protection locked="0"/>
    </xf>
    <xf numFmtId="0" fontId="5" fillId="0" borderId="12" xfId="0" applyFont="1" applyBorder="1" applyAlignment="1" applyProtection="1">
      <alignment horizontal="left" vertical="top"/>
      <protection locked="0"/>
    </xf>
    <xf numFmtId="0" fontId="13" fillId="3" borderId="7" xfId="0" applyFont="1" applyFill="1" applyBorder="1"/>
    <xf numFmtId="0" fontId="4" fillId="0" borderId="0" xfId="0" applyFont="1" applyAlignment="1" applyProtection="1">
      <alignment horizontal="left" vertical="top"/>
      <protection locked="0"/>
    </xf>
    <xf numFmtId="0" fontId="0" fillId="0" borderId="1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3" borderId="11" xfId="0" applyFont="1" applyFill="1" applyBorder="1"/>
    <xf numFmtId="0" fontId="6" fillId="3" borderId="10" xfId="0" quotePrefix="1" applyFont="1" applyFill="1" applyBorder="1" applyAlignment="1">
      <alignment horizontal="left"/>
    </xf>
    <xf numFmtId="0" fontId="6" fillId="3" borderId="6" xfId="0" quotePrefix="1" applyFont="1" applyFill="1" applyBorder="1" applyAlignment="1">
      <alignment horizontal="left"/>
    </xf>
    <xf numFmtId="0" fontId="6" fillId="3" borderId="11" xfId="0" quotePrefix="1" applyFont="1" applyFill="1" applyBorder="1" applyAlignment="1">
      <alignment horizontal="left"/>
    </xf>
    <xf numFmtId="0" fontId="4" fillId="3" borderId="10" xfId="0" quotePrefix="1" applyFont="1" applyFill="1" applyBorder="1"/>
    <xf numFmtId="0" fontId="11" fillId="3" borderId="7" xfId="0" quotePrefix="1" applyFont="1" applyFill="1" applyBorder="1" applyAlignment="1">
      <alignment vertical="center" wrapText="1"/>
    </xf>
    <xf numFmtId="0" fontId="4" fillId="0" borderId="1" xfId="0" applyFont="1" applyBorder="1" applyAlignment="1" applyProtection="1">
      <alignment horizontal="left" vertical="center"/>
      <protection locked="0"/>
    </xf>
    <xf numFmtId="0" fontId="1" fillId="2" borderId="0" xfId="0" applyFont="1" applyFill="1"/>
    <xf numFmtId="0" fontId="1" fillId="2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13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12" Type="http://schemas.microsoft.com/office/2017/10/relationships/person" Target="persons/person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3.xml"/><Relationship Id="rId5" Type="http://schemas.openxmlformats.org/officeDocument/2006/relationships/calcChain" Target="calcChai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0</xdr:rowOff>
    </xdr:from>
    <xdr:to>
      <xdr:col>3</xdr:col>
      <xdr:colOff>95250</xdr:colOff>
      <xdr:row>5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87340B-C7B5-BE7F-65E5-AC87ABC6F0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17" t="28566" r="5981" b="31986"/>
        <a:stretch/>
      </xdr:blipFill>
      <xdr:spPr>
        <a:xfrm>
          <a:off x="121920" y="0"/>
          <a:ext cx="6598920" cy="1104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16" zoomScaleNormal="100" workbookViewId="0">
      <selection activeCell="E42" sqref="E42"/>
    </sheetView>
  </sheetViews>
  <sheetFormatPr defaultRowHeight="14.4" x14ac:dyDescent="0.3"/>
  <cols>
    <col min="1" max="1" width="4.5546875" customWidth="1"/>
    <col min="2" max="2" width="36" bestFit="1" customWidth="1"/>
    <col min="3" max="3" width="56.21875" customWidth="1"/>
    <col min="4" max="4" width="19.21875" customWidth="1"/>
    <col min="5" max="5" width="22.44140625" customWidth="1"/>
    <col min="6" max="6" width="16" bestFit="1" customWidth="1"/>
    <col min="7" max="7" width="30.33203125" bestFit="1" customWidth="1"/>
  </cols>
  <sheetData>
    <row r="1" spans="1:7" x14ac:dyDescent="0.3">
      <c r="A1" s="35"/>
      <c r="B1" s="35"/>
      <c r="C1" s="35"/>
      <c r="D1" s="36"/>
      <c r="E1" s="24" t="s">
        <v>3</v>
      </c>
      <c r="F1" s="29" t="s">
        <v>9</v>
      </c>
      <c r="G1" s="18"/>
    </row>
    <row r="2" spans="1:7" x14ac:dyDescent="0.3">
      <c r="A2" s="35"/>
      <c r="B2" s="35"/>
      <c r="C2" s="35"/>
      <c r="D2" s="36"/>
      <c r="E2" s="24" t="s">
        <v>4</v>
      </c>
      <c r="F2" s="30" t="s">
        <v>10</v>
      </c>
      <c r="G2" s="19"/>
    </row>
    <row r="3" spans="1:7" x14ac:dyDescent="0.3">
      <c r="A3" s="35"/>
      <c r="B3" s="35"/>
      <c r="C3" s="35"/>
      <c r="D3" s="36"/>
      <c r="E3" s="24" t="s">
        <v>5</v>
      </c>
      <c r="F3" s="31" t="s">
        <v>11</v>
      </c>
      <c r="G3" s="20"/>
    </row>
    <row r="4" spans="1:7" x14ac:dyDescent="0.3">
      <c r="A4" s="35"/>
      <c r="B4" s="35"/>
      <c r="C4" s="35"/>
      <c r="D4" s="36"/>
      <c r="E4" s="24" t="s">
        <v>6</v>
      </c>
      <c r="F4" s="31" t="s">
        <v>12</v>
      </c>
      <c r="G4" s="20"/>
    </row>
    <row r="5" spans="1:7" x14ac:dyDescent="0.3">
      <c r="A5" s="35"/>
      <c r="B5" s="35"/>
      <c r="C5" s="35"/>
      <c r="D5" s="36"/>
      <c r="E5" s="15" t="s">
        <v>7</v>
      </c>
      <c r="F5" s="32" t="s">
        <v>13</v>
      </c>
      <c r="G5" s="17"/>
    </row>
    <row r="6" spans="1:7" ht="17.399999999999999" x14ac:dyDescent="0.3">
      <c r="A6" s="5"/>
      <c r="B6" s="14" t="s">
        <v>2</v>
      </c>
      <c r="C6" s="4"/>
      <c r="D6" s="4"/>
      <c r="E6" s="16"/>
      <c r="F6" s="28"/>
      <c r="G6" s="21"/>
    </row>
    <row r="7" spans="1:7" x14ac:dyDescent="0.3">
      <c r="A7" s="6" t="s">
        <v>8</v>
      </c>
      <c r="B7" s="7" t="s">
        <v>15</v>
      </c>
      <c r="C7" s="7" t="s">
        <v>48</v>
      </c>
      <c r="D7" s="7" t="s">
        <v>81</v>
      </c>
      <c r="E7" s="7" t="s">
        <v>114</v>
      </c>
      <c r="F7" s="7" t="s">
        <v>123</v>
      </c>
      <c r="G7" s="8" t="s">
        <v>124</v>
      </c>
    </row>
    <row r="8" spans="1:7" x14ac:dyDescent="0.3">
      <c r="A8" s="13">
        <f t="shared" ref="A8:A39" si="0">ROW(A8) - ROW($A$7)</f>
        <v>1</v>
      </c>
      <c r="B8" s="13" t="s">
        <v>16</v>
      </c>
      <c r="C8" s="13" t="s">
        <v>49</v>
      </c>
      <c r="D8" s="13" t="s">
        <v>82</v>
      </c>
      <c r="E8" s="13" t="s">
        <v>115</v>
      </c>
      <c r="F8" s="13">
        <v>5</v>
      </c>
      <c r="G8" s="13" t="s">
        <v>125</v>
      </c>
    </row>
    <row r="9" spans="1:7" ht="20.399999999999999" x14ac:dyDescent="0.3">
      <c r="A9" s="13">
        <f t="shared" si="0"/>
        <v>2</v>
      </c>
      <c r="B9" s="13" t="s">
        <v>17</v>
      </c>
      <c r="C9" s="13" t="s">
        <v>50</v>
      </c>
      <c r="D9" s="13" t="s">
        <v>83</v>
      </c>
      <c r="E9" s="13" t="s">
        <v>115</v>
      </c>
      <c r="F9" s="13">
        <v>9</v>
      </c>
      <c r="G9" s="13" t="s">
        <v>126</v>
      </c>
    </row>
    <row r="10" spans="1:7" ht="20.399999999999999" x14ac:dyDescent="0.3">
      <c r="A10" s="13">
        <f t="shared" si="0"/>
        <v>3</v>
      </c>
      <c r="B10" s="13" t="s">
        <v>18</v>
      </c>
      <c r="C10" s="13" t="s">
        <v>51</v>
      </c>
      <c r="D10" s="13" t="s">
        <v>84</v>
      </c>
      <c r="E10" s="13" t="s">
        <v>115</v>
      </c>
      <c r="F10" s="13">
        <v>1</v>
      </c>
      <c r="G10" s="13" t="s">
        <v>127</v>
      </c>
    </row>
    <row r="11" spans="1:7" ht="20.399999999999999" x14ac:dyDescent="0.3">
      <c r="A11" s="13">
        <f t="shared" si="0"/>
        <v>4</v>
      </c>
      <c r="B11" s="13" t="s">
        <v>19</v>
      </c>
      <c r="C11" s="13" t="s">
        <v>52</v>
      </c>
      <c r="D11" s="13" t="s">
        <v>85</v>
      </c>
      <c r="E11" s="13" t="s">
        <v>115</v>
      </c>
      <c r="F11" s="13">
        <v>3</v>
      </c>
      <c r="G11" s="13" t="s">
        <v>126</v>
      </c>
    </row>
    <row r="12" spans="1:7" ht="20.399999999999999" x14ac:dyDescent="0.3">
      <c r="A12" s="13">
        <f t="shared" si="0"/>
        <v>5</v>
      </c>
      <c r="B12" s="13" t="s">
        <v>20</v>
      </c>
      <c r="C12" s="13" t="s">
        <v>53</v>
      </c>
      <c r="D12" s="13" t="s">
        <v>86</v>
      </c>
      <c r="E12" s="13" t="s">
        <v>115</v>
      </c>
      <c r="F12" s="13">
        <v>1</v>
      </c>
      <c r="G12" s="13" t="s">
        <v>127</v>
      </c>
    </row>
    <row r="13" spans="1:7" x14ac:dyDescent="0.3">
      <c r="A13" s="13">
        <f t="shared" si="0"/>
        <v>6</v>
      </c>
      <c r="B13" s="13" t="s">
        <v>21</v>
      </c>
      <c r="C13" s="13" t="s">
        <v>54</v>
      </c>
      <c r="D13" s="13" t="s">
        <v>87</v>
      </c>
      <c r="E13" s="13" t="s">
        <v>115</v>
      </c>
      <c r="F13" s="13">
        <v>1</v>
      </c>
      <c r="G13" s="13" t="s">
        <v>127</v>
      </c>
    </row>
    <row r="14" spans="1:7" ht="20.399999999999999" x14ac:dyDescent="0.3">
      <c r="A14" s="13">
        <f t="shared" si="0"/>
        <v>7</v>
      </c>
      <c r="B14" s="13" t="s">
        <v>22</v>
      </c>
      <c r="C14" s="13" t="s">
        <v>55</v>
      </c>
      <c r="D14" s="13" t="s">
        <v>88</v>
      </c>
      <c r="E14" s="13" t="s">
        <v>115</v>
      </c>
      <c r="F14" s="13">
        <v>2</v>
      </c>
      <c r="G14" s="13" t="s">
        <v>128</v>
      </c>
    </row>
    <row r="15" spans="1:7" x14ac:dyDescent="0.3">
      <c r="A15" s="13">
        <f t="shared" si="0"/>
        <v>8</v>
      </c>
      <c r="B15" s="13" t="s">
        <v>23</v>
      </c>
      <c r="C15" s="13" t="s">
        <v>56</v>
      </c>
      <c r="D15" s="13" t="s">
        <v>89</v>
      </c>
      <c r="E15" s="13" t="s">
        <v>116</v>
      </c>
      <c r="F15" s="13">
        <v>1</v>
      </c>
      <c r="G15" s="13" t="s">
        <v>129</v>
      </c>
    </row>
    <row r="16" spans="1:7" x14ac:dyDescent="0.3">
      <c r="A16" s="13">
        <f t="shared" si="0"/>
        <v>9</v>
      </c>
      <c r="B16" s="13" t="s">
        <v>24</v>
      </c>
      <c r="C16" s="13" t="s">
        <v>57</v>
      </c>
      <c r="D16" s="13" t="s">
        <v>90</v>
      </c>
      <c r="E16" s="13" t="s">
        <v>117</v>
      </c>
      <c r="F16" s="13">
        <v>1</v>
      </c>
      <c r="G16" s="13" t="s">
        <v>130</v>
      </c>
    </row>
    <row r="17" spans="1:7" x14ac:dyDescent="0.3">
      <c r="A17" s="13">
        <f t="shared" si="0"/>
        <v>10</v>
      </c>
      <c r="B17" s="13" t="s">
        <v>25</v>
      </c>
      <c r="C17" s="13" t="s">
        <v>58</v>
      </c>
      <c r="D17" s="13" t="s">
        <v>91</v>
      </c>
      <c r="E17" s="13" t="s">
        <v>118</v>
      </c>
      <c r="F17" s="13">
        <v>1</v>
      </c>
      <c r="G17" s="13" t="s">
        <v>131</v>
      </c>
    </row>
    <row r="18" spans="1:7" ht="20.399999999999999" x14ac:dyDescent="0.3">
      <c r="A18" s="13">
        <f t="shared" si="0"/>
        <v>11</v>
      </c>
      <c r="B18" s="13" t="s">
        <v>26</v>
      </c>
      <c r="C18" s="13" t="s">
        <v>59</v>
      </c>
      <c r="D18" s="13" t="s">
        <v>92</v>
      </c>
      <c r="E18" s="13" t="s">
        <v>119</v>
      </c>
      <c r="F18" s="13">
        <v>2</v>
      </c>
      <c r="G18" s="13" t="s">
        <v>132</v>
      </c>
    </row>
    <row r="19" spans="1:7" x14ac:dyDescent="0.3">
      <c r="A19" s="13">
        <f t="shared" si="0"/>
        <v>12</v>
      </c>
      <c r="B19" s="13" t="s">
        <v>27</v>
      </c>
      <c r="C19" s="13" t="s">
        <v>60</v>
      </c>
      <c r="D19" s="13" t="s">
        <v>93</v>
      </c>
      <c r="E19" s="13" t="s">
        <v>119</v>
      </c>
      <c r="F19" s="13">
        <v>1</v>
      </c>
      <c r="G19" s="13" t="s">
        <v>132</v>
      </c>
    </row>
    <row r="20" spans="1:7" ht="20.399999999999999" x14ac:dyDescent="0.3">
      <c r="A20" s="13">
        <f t="shared" si="0"/>
        <v>13</v>
      </c>
      <c r="B20" s="13" t="s">
        <v>28</v>
      </c>
      <c r="C20" s="13" t="s">
        <v>61</v>
      </c>
      <c r="D20" s="13" t="s">
        <v>94</v>
      </c>
      <c r="E20" s="13" t="s">
        <v>119</v>
      </c>
      <c r="F20" s="13">
        <v>1</v>
      </c>
      <c r="G20" s="13" t="s">
        <v>133</v>
      </c>
    </row>
    <row r="21" spans="1:7" x14ac:dyDescent="0.3">
      <c r="A21" s="13">
        <f t="shared" si="0"/>
        <v>14</v>
      </c>
      <c r="B21" s="13" t="s">
        <v>29</v>
      </c>
      <c r="C21" s="13" t="s">
        <v>62</v>
      </c>
      <c r="D21" s="13" t="s">
        <v>95</v>
      </c>
      <c r="E21" s="13" t="s">
        <v>119</v>
      </c>
      <c r="F21" s="13">
        <v>2</v>
      </c>
      <c r="G21" s="13" t="s">
        <v>132</v>
      </c>
    </row>
    <row r="22" spans="1:7" x14ac:dyDescent="0.3">
      <c r="A22" s="13">
        <f t="shared" si="0"/>
        <v>15</v>
      </c>
      <c r="B22" s="13" t="s">
        <v>30</v>
      </c>
      <c r="C22" s="13" t="s">
        <v>63</v>
      </c>
      <c r="D22" s="13" t="s">
        <v>96</v>
      </c>
      <c r="E22" s="13" t="s">
        <v>120</v>
      </c>
      <c r="F22" s="13">
        <v>1</v>
      </c>
      <c r="G22" s="13" t="s">
        <v>134</v>
      </c>
    </row>
    <row r="23" spans="1:7" x14ac:dyDescent="0.3">
      <c r="A23" s="13">
        <f t="shared" si="0"/>
        <v>16</v>
      </c>
      <c r="B23" s="13" t="s">
        <v>31</v>
      </c>
      <c r="C23" s="13" t="s">
        <v>64</v>
      </c>
      <c r="D23" s="13" t="s">
        <v>97</v>
      </c>
      <c r="E23" s="13" t="s">
        <v>120</v>
      </c>
      <c r="F23" s="13">
        <v>1</v>
      </c>
      <c r="G23" s="13" t="s">
        <v>127</v>
      </c>
    </row>
    <row r="24" spans="1:7" x14ac:dyDescent="0.3">
      <c r="A24" s="13">
        <f t="shared" si="0"/>
        <v>17</v>
      </c>
      <c r="B24" s="13" t="s">
        <v>32</v>
      </c>
      <c r="C24" s="13" t="s">
        <v>65</v>
      </c>
      <c r="D24" s="13" t="s">
        <v>98</v>
      </c>
      <c r="E24" s="13" t="s">
        <v>120</v>
      </c>
      <c r="F24" s="13">
        <v>1</v>
      </c>
      <c r="G24" s="13" t="s">
        <v>127</v>
      </c>
    </row>
    <row r="25" spans="1:7" ht="20.399999999999999" x14ac:dyDescent="0.3">
      <c r="A25" s="13">
        <f t="shared" si="0"/>
        <v>18</v>
      </c>
      <c r="B25" s="13" t="s">
        <v>33</v>
      </c>
      <c r="C25" s="13" t="s">
        <v>66</v>
      </c>
      <c r="D25" s="13" t="s">
        <v>99</v>
      </c>
      <c r="E25" s="13" t="s">
        <v>121</v>
      </c>
      <c r="F25" s="13">
        <v>7</v>
      </c>
      <c r="G25" s="13" t="s">
        <v>135</v>
      </c>
    </row>
    <row r="26" spans="1:7" ht="20.399999999999999" x14ac:dyDescent="0.3">
      <c r="A26" s="13">
        <f t="shared" si="0"/>
        <v>19</v>
      </c>
      <c r="B26" s="13" t="s">
        <v>34</v>
      </c>
      <c r="C26" s="13" t="s">
        <v>67</v>
      </c>
      <c r="D26" s="13" t="s">
        <v>100</v>
      </c>
      <c r="E26" s="13" t="s">
        <v>121</v>
      </c>
      <c r="F26" s="13">
        <v>2</v>
      </c>
      <c r="G26" s="13" t="s">
        <v>134</v>
      </c>
    </row>
    <row r="27" spans="1:7" ht="20.399999999999999" x14ac:dyDescent="0.3">
      <c r="A27" s="13">
        <f t="shared" si="0"/>
        <v>20</v>
      </c>
      <c r="B27" s="13" t="s">
        <v>35</v>
      </c>
      <c r="C27" s="13" t="s">
        <v>68</v>
      </c>
      <c r="D27" s="13" t="s">
        <v>101</v>
      </c>
      <c r="E27" s="13" t="s">
        <v>121</v>
      </c>
      <c r="F27" s="13">
        <v>10</v>
      </c>
      <c r="G27" s="13" t="s">
        <v>134</v>
      </c>
    </row>
    <row r="28" spans="1:7" ht="20.399999999999999" x14ac:dyDescent="0.3">
      <c r="A28" s="13">
        <f t="shared" si="0"/>
        <v>21</v>
      </c>
      <c r="B28" s="13" t="s">
        <v>36</v>
      </c>
      <c r="C28" s="13" t="s">
        <v>69</v>
      </c>
      <c r="D28" s="13" t="s">
        <v>102</v>
      </c>
      <c r="E28" s="13" t="s">
        <v>121</v>
      </c>
      <c r="F28" s="13">
        <v>1</v>
      </c>
      <c r="G28" s="13" t="s">
        <v>135</v>
      </c>
    </row>
    <row r="29" spans="1:7" ht="20.399999999999999" x14ac:dyDescent="0.3">
      <c r="A29" s="13">
        <f t="shared" si="0"/>
        <v>22</v>
      </c>
      <c r="B29" s="13" t="s">
        <v>37</v>
      </c>
      <c r="C29" s="13" t="s">
        <v>70</v>
      </c>
      <c r="D29" s="13" t="s">
        <v>103</v>
      </c>
      <c r="E29" s="13" t="s">
        <v>121</v>
      </c>
      <c r="F29" s="13">
        <v>10</v>
      </c>
      <c r="G29" s="13" t="s">
        <v>134</v>
      </c>
    </row>
    <row r="30" spans="1:7" ht="20.399999999999999" x14ac:dyDescent="0.3">
      <c r="A30" s="13">
        <f t="shared" si="0"/>
        <v>23</v>
      </c>
      <c r="B30" s="13" t="s">
        <v>38</v>
      </c>
      <c r="C30" s="13" t="s">
        <v>71</v>
      </c>
      <c r="D30" s="13" t="s">
        <v>104</v>
      </c>
      <c r="E30" s="13" t="s">
        <v>121</v>
      </c>
      <c r="F30" s="13">
        <v>1</v>
      </c>
      <c r="G30" s="13" t="s">
        <v>128</v>
      </c>
    </row>
    <row r="31" spans="1:7" ht="20.399999999999999" x14ac:dyDescent="0.3">
      <c r="A31" s="13">
        <f t="shared" si="0"/>
        <v>24</v>
      </c>
      <c r="B31" s="13" t="s">
        <v>39</v>
      </c>
      <c r="C31" s="13" t="s">
        <v>72</v>
      </c>
      <c r="D31" s="13" t="s">
        <v>105</v>
      </c>
      <c r="E31" s="13" t="s">
        <v>121</v>
      </c>
      <c r="F31" s="13">
        <v>1</v>
      </c>
      <c r="G31" s="13" t="s">
        <v>128</v>
      </c>
    </row>
    <row r="32" spans="1:7" ht="20.399999999999999" x14ac:dyDescent="0.3">
      <c r="A32" s="13">
        <f t="shared" si="0"/>
        <v>25</v>
      </c>
      <c r="B32" s="13" t="s">
        <v>40</v>
      </c>
      <c r="C32" s="13" t="s">
        <v>73</v>
      </c>
      <c r="D32" s="13" t="s">
        <v>106</v>
      </c>
      <c r="E32" s="13" t="s">
        <v>121</v>
      </c>
      <c r="F32" s="13">
        <v>1</v>
      </c>
      <c r="G32" s="13" t="s">
        <v>134</v>
      </c>
    </row>
    <row r="33" spans="1:7" ht="20.399999999999999" x14ac:dyDescent="0.3">
      <c r="A33" s="13">
        <f t="shared" si="0"/>
        <v>26</v>
      </c>
      <c r="B33" s="13" t="s">
        <v>41</v>
      </c>
      <c r="C33" s="13" t="s">
        <v>74</v>
      </c>
      <c r="D33" s="13" t="s">
        <v>107</v>
      </c>
      <c r="E33" s="13" t="s">
        <v>121</v>
      </c>
      <c r="F33" s="13">
        <v>1</v>
      </c>
      <c r="G33" s="13" t="s">
        <v>128</v>
      </c>
    </row>
    <row r="34" spans="1:7" x14ac:dyDescent="0.3">
      <c r="A34" s="13">
        <f t="shared" si="0"/>
        <v>27</v>
      </c>
      <c r="B34" s="13" t="s">
        <v>42</v>
      </c>
      <c r="C34" s="13" t="s">
        <v>75</v>
      </c>
      <c r="D34" s="13" t="s">
        <v>108</v>
      </c>
      <c r="E34" s="13" t="s">
        <v>121</v>
      </c>
      <c r="F34" s="13">
        <v>1</v>
      </c>
      <c r="G34" s="13" t="s">
        <v>135</v>
      </c>
    </row>
    <row r="35" spans="1:7" ht="20.399999999999999" x14ac:dyDescent="0.3">
      <c r="A35" s="13">
        <f t="shared" si="0"/>
        <v>28</v>
      </c>
      <c r="B35" s="13" t="s">
        <v>43</v>
      </c>
      <c r="C35" s="13" t="s">
        <v>76</v>
      </c>
      <c r="D35" s="13" t="s">
        <v>109</v>
      </c>
      <c r="E35" s="13" t="s">
        <v>121</v>
      </c>
      <c r="F35" s="13">
        <v>1</v>
      </c>
      <c r="G35" s="13" t="s">
        <v>128</v>
      </c>
    </row>
    <row r="36" spans="1:7" ht="20.399999999999999" x14ac:dyDescent="0.3">
      <c r="A36" s="13">
        <f t="shared" si="0"/>
        <v>29</v>
      </c>
      <c r="B36" s="13" t="s">
        <v>44</v>
      </c>
      <c r="C36" s="13" t="s">
        <v>77</v>
      </c>
      <c r="D36" s="13" t="s">
        <v>110</v>
      </c>
      <c r="E36" s="13" t="s">
        <v>121</v>
      </c>
      <c r="F36" s="13">
        <v>1</v>
      </c>
      <c r="G36" s="13" t="s">
        <v>134</v>
      </c>
    </row>
    <row r="37" spans="1:7" ht="20.399999999999999" x14ac:dyDescent="0.3">
      <c r="A37" s="13">
        <f t="shared" si="0"/>
        <v>30</v>
      </c>
      <c r="B37" s="13" t="s">
        <v>45</v>
      </c>
      <c r="C37" s="13" t="s">
        <v>78</v>
      </c>
      <c r="D37" s="13" t="s">
        <v>111</v>
      </c>
      <c r="E37" s="13" t="s">
        <v>122</v>
      </c>
      <c r="F37" s="13">
        <v>1</v>
      </c>
      <c r="G37" s="13" t="s">
        <v>136</v>
      </c>
    </row>
    <row r="38" spans="1:7" x14ac:dyDescent="0.3">
      <c r="A38" s="13">
        <f t="shared" si="0"/>
        <v>31</v>
      </c>
      <c r="B38" s="13" t="s">
        <v>46</v>
      </c>
      <c r="C38" s="13" t="s">
        <v>79</v>
      </c>
      <c r="D38" s="13" t="s">
        <v>112</v>
      </c>
      <c r="E38" s="13" t="s">
        <v>122</v>
      </c>
      <c r="F38" s="13">
        <v>1</v>
      </c>
      <c r="G38" s="13" t="s">
        <v>137</v>
      </c>
    </row>
    <row r="39" spans="1:7" x14ac:dyDescent="0.3">
      <c r="A39" s="13">
        <f t="shared" si="0"/>
        <v>32</v>
      </c>
      <c r="B39" s="13" t="s">
        <v>47</v>
      </c>
      <c r="C39" s="13" t="s">
        <v>80</v>
      </c>
      <c r="D39" s="13" t="s">
        <v>113</v>
      </c>
      <c r="E39" s="13" t="s">
        <v>122</v>
      </c>
      <c r="F39" s="13">
        <v>1</v>
      </c>
      <c r="G39" s="13" t="s">
        <v>137</v>
      </c>
    </row>
    <row r="40" spans="1:7" x14ac:dyDescent="0.3">
      <c r="A40" s="34" t="s">
        <v>0</v>
      </c>
      <c r="B40" s="34"/>
      <c r="C40" s="26"/>
      <c r="D40" s="26"/>
      <c r="E40" s="26"/>
      <c r="F40" s="33" t="s">
        <v>14</v>
      </c>
      <c r="G40" s="27"/>
    </row>
    <row r="41" spans="1:7" x14ac:dyDescent="0.3">
      <c r="A41" s="25" t="s">
        <v>1</v>
      </c>
      <c r="C41" s="2"/>
      <c r="D41" s="2"/>
      <c r="E41" s="2"/>
      <c r="F41" s="3"/>
      <c r="G41" s="22"/>
    </row>
    <row r="42" spans="1:7" x14ac:dyDescent="0.3">
      <c r="A42" s="9"/>
      <c r="B42" s="1"/>
      <c r="C42" s="2"/>
      <c r="D42" s="2"/>
      <c r="E42" s="2"/>
      <c r="F42" s="2"/>
      <c r="G42" s="22"/>
    </row>
    <row r="43" spans="1:7" x14ac:dyDescent="0.3">
      <c r="A43" s="9"/>
      <c r="B43" s="1"/>
      <c r="C43" s="2"/>
      <c r="D43" s="2"/>
      <c r="E43" s="2"/>
      <c r="F43" s="2"/>
      <c r="G43" s="22"/>
    </row>
    <row r="44" spans="1:7" x14ac:dyDescent="0.3">
      <c r="A44" s="10"/>
      <c r="B44" s="11"/>
      <c r="C44" s="12"/>
      <c r="D44" s="12"/>
      <c r="E44" s="12"/>
      <c r="F44" s="12"/>
      <c r="G44" s="23"/>
    </row>
  </sheetData>
  <mergeCells count="2">
    <mergeCell ref="A40:B40"/>
    <mergeCell ref="A1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Bavya Sri</cp:lastModifiedBy>
  <dcterms:created xsi:type="dcterms:W3CDTF">2019-12-12T10:34:26Z</dcterms:created>
  <dcterms:modified xsi:type="dcterms:W3CDTF">2026-02-02T12:39:42Z</dcterms:modified>
</cp:coreProperties>
</file>